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Raw Data - Delivery Log" sheetId="1" state="visible" r:id="rId3"/>
    <sheet name="📋 KPI Guide - Read This First" sheetId="2" state="visible" r:id="rId4"/>
    <sheet name="📊 MY Dashboard - Build H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<sst xmlns="http://schemas.openxmlformats.org/spreadsheetml/2006/main" count="545" uniqueCount="198">
  <si>
    <t xml:space="preserve">Order ID</t>
  </si>
  <si>
    <t xml:space="preserve">Date</t>
  </si>
  <si>
    <t xml:space="preserve">Delivery Partner</t>
  </si>
  <si>
    <t xml:space="preserve">Status</t>
  </si>
  <si>
    <t xml:space="preserve">City</t>
  </si>
  <si>
    <t xml:space="preserve">Expected Delivery</t>
  </si>
  <si>
    <t xml:space="preserve">Actual Delivery</t>
  </si>
  <si>
    <t xml:space="preserve">Delay (Days)</t>
  </si>
  <si>
    <t xml:space="preserve">Remarks</t>
  </si>
  <si>
    <t xml:space="preserve">ORD-1002</t>
  </si>
  <si>
    <t xml:space="preserve">24-Feb-2026</t>
  </si>
  <si>
    <t xml:space="preserve">BlueDart</t>
  </si>
  <si>
    <t xml:space="preserve">Pending</t>
  </si>
  <si>
    <t xml:space="preserve">Hyderabad</t>
  </si>
  <si>
    <t xml:space="preserve">—</t>
  </si>
  <si>
    <t xml:space="preserve">In transit</t>
  </si>
  <si>
    <t xml:space="preserve">ORD-1003</t>
  </si>
  <si>
    <t xml:space="preserve">05-Feb-2026</t>
  </si>
  <si>
    <t xml:space="preserve">Delhivery</t>
  </si>
  <si>
    <t xml:space="preserve">Delivered</t>
  </si>
  <si>
    <t xml:space="preserve">Bengaluru</t>
  </si>
  <si>
    <t xml:space="preserve">On time</t>
  </si>
  <si>
    <t xml:space="preserve">ORD-1004</t>
  </si>
  <si>
    <t xml:space="preserve">19-Feb-2026</t>
  </si>
  <si>
    <t xml:space="preserve">XpressBees</t>
  </si>
  <si>
    <t xml:space="preserve">Mumbai</t>
  </si>
  <si>
    <t xml:space="preserve">ORD-1005</t>
  </si>
  <si>
    <t xml:space="preserve">03-Feb-2026</t>
  </si>
  <si>
    <t xml:space="preserve">04-Feb-2026</t>
  </si>
  <si>
    <t xml:space="preserve">ORD-1006</t>
  </si>
  <si>
    <t xml:space="preserve">18-Feb-2026</t>
  </si>
  <si>
    <t xml:space="preserve">ORD-1007</t>
  </si>
  <si>
    <t xml:space="preserve">08-Feb-2026</t>
  </si>
  <si>
    <t xml:space="preserve">Kolkata</t>
  </si>
  <si>
    <t xml:space="preserve">ORD-1008</t>
  </si>
  <si>
    <t xml:space="preserve">26-Feb-2026</t>
  </si>
  <si>
    <t xml:space="preserve">Chennai</t>
  </si>
  <si>
    <t xml:space="preserve">ORD-1009</t>
  </si>
  <si>
    <t xml:space="preserve">09-Feb-2026</t>
  </si>
  <si>
    <t xml:space="preserve">Ecom Express</t>
  </si>
  <si>
    <t xml:space="preserve">Pune</t>
  </si>
  <si>
    <t xml:space="preserve">10-Feb-2026</t>
  </si>
  <si>
    <t xml:space="preserve">ORD-1010</t>
  </si>
  <si>
    <t xml:space="preserve">DTDC</t>
  </si>
  <si>
    <t xml:space="preserve">06-Feb-2026</t>
  </si>
  <si>
    <t xml:space="preserve">ORD-1011</t>
  </si>
  <si>
    <t xml:space="preserve">20-Feb-2026</t>
  </si>
  <si>
    <t xml:space="preserve">22-Feb-2026</t>
  </si>
  <si>
    <t xml:space="preserve">ORD-1012</t>
  </si>
  <si>
    <t xml:space="preserve">13-Feb-2026</t>
  </si>
  <si>
    <t xml:space="preserve">ORD-1013</t>
  </si>
  <si>
    <t xml:space="preserve">Failed</t>
  </si>
  <si>
    <t xml:space="preserve">Customer not available</t>
  </si>
  <si>
    <t xml:space="preserve">ORD-1014</t>
  </si>
  <si>
    <t xml:space="preserve">23-Feb-2026</t>
  </si>
  <si>
    <t xml:space="preserve">ORD-1015</t>
  </si>
  <si>
    <t xml:space="preserve">28-Feb-2026</t>
  </si>
  <si>
    <t xml:space="preserve">ORD-1016</t>
  </si>
  <si>
    <t xml:space="preserve">21-Feb-2026</t>
  </si>
  <si>
    <t xml:space="preserve">Ahmedabad</t>
  </si>
  <si>
    <t xml:space="preserve">ORD-1017</t>
  </si>
  <si>
    <t xml:space="preserve">07-Feb-2026</t>
  </si>
  <si>
    <t xml:space="preserve">ORD-1018</t>
  </si>
  <si>
    <t xml:space="preserve">Delhi</t>
  </si>
  <si>
    <t xml:space="preserve">ORD-1019</t>
  </si>
  <si>
    <t xml:space="preserve">15-Feb-2026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</si>
  <si>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</si>
  <si>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</si>
  <si>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</si>
  <si>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</si>
  <si>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</si>
  <si>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</si>
  <si>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</si>
  <si>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</si>
  <si>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</si>
  <si>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</si>
  <si>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17-Feb-2026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</si>
  <si>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</si>
  <si>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</si>
  <si>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</si>
  <si>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</si>
  <si>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</si>
  <si>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</si>
  <si>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</si>
  <si>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12-Feb-2026</t>
  </si>
  <si>
    <t xml:space="preserve">14-Feb-2026</t>
  </si>
  <si>
    <t xml:space="preserve">ORD-1037</t>
  </si>
  <si>
    <t xml:space="preserve">ORD-1038</t>
  </si>
  <si>
    <t xml:space="preserve">25-Feb-2026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</si>
  <si>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</si>
  <si>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</si>
  <si>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</si>
  <si>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</si>
  <si>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</si>
  <si>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</si>
  <si>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</si>
  <si>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</si>
  <si>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</si>
  <si>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</si>
  <si>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</si>
  <si>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</si>
  <si>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</si>
  <si>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📋  YOUR KPI DASHBOARD GUIDE</t>
  </si>
  <si>
    <t xml:space="preserve">Follow this guide step by step to build your dashboard from scratch</t>
  </si>
  <si>
    <t xml:space="preserve">STEP 1 — UNDERSTAND YOUR KPIs</t>
  </si>
  <si>
    <t xml:space="preserve">KPI Name</t>
  </si>
  <si>
    <t xml:space="preserve">What it Means</t>
  </si>
  <si>
    <t xml:space="preserve">Formula to Type</t>
  </si>
  <si>
    <t xml:space="preserve">Where Data Comes From</t>
  </si>
  <si>
    <t xml:space="preserve">Total Orders</t>
  </si>
  <si>
    <t xml:space="preserve">How many orders are in the log</t>
  </si>
  <si>
    <t xml:space="preserve">Column A of Raw Data</t>
  </si>
  <si>
    <t xml:space="preserve">Total Delivered</t>
  </si>
  <si>
    <t xml:space="preserve">Orders successfully delivered</t>
  </si>
  <si>
    <t xml:space="preserve">Column D of Raw Data</t>
  </si>
  <si>
    <t xml:space="preserve">Total Failed</t>
  </si>
  <si>
    <t xml:space="preserve">Orders that failed delivery</t>
  </si>
  <si>
    <t xml:space="preserve">Total Pending</t>
  </si>
  <si>
    <t xml:space="preserve">Orders still in transit</t>
  </si>
  <si>
    <t xml:space="preserve">Success Rate %</t>
  </si>
  <si>
    <t xml:space="preserve">% of orders successfully delivered</t>
  </si>
  <si>
    <t xml:space="preserve">'delivered cell/total cell</t>
  </si>
  <si>
    <t xml:space="preserve">Calculated from above</t>
  </si>
  <si>
    <t xml:space="preserve">Avg Delay (Days)</t>
  </si>
  <si>
    <t xml:space="preserve">Average days delayed on deliveries</t>
  </si>
  <si>
    <t xml:space="preserve">'AVERAGE(H2:H51)</t>
  </si>
  <si>
    <t xml:space="preserve">Column H of Raw Data</t>
  </si>
  <si>
    <t xml:space="preserve">STEP 2 — PARTNER PERFORMANCE KPIs (use COUNTIFS)</t>
  </si>
  <si>
    <t xml:space="preserve">Formula Example (for BlueDart)</t>
  </si>
  <si>
    <t xml:space="preserve">Explanation</t>
  </si>
  <si>
    <t xml:space="preserve">BlueDart - Assigned</t>
  </si>
  <si>
    <t xml:space="preserve">Counts all BlueDart orders</t>
  </si>
  <si>
    <t xml:space="preserve">BlueDart - Delivered</t>
  </si>
  <si>
    <t xml:space="preserve">Counts delivered BlueDart orders</t>
  </si>
  <si>
    <t xml:space="preserve">BlueDart - Failed</t>
  </si>
  <si>
    <t xml:space="preserve">Counts failed BlueDart orders</t>
  </si>
  <si>
    <t xml:space="preserve">BlueDart - Success %</t>
  </si>
  <si>
    <t xml:space="preserve">'delivered cell / assigned cell</t>
  </si>
  <si>
    <t xml:space="preserve">Format as % in Home tab</t>
  </si>
  <si>
    <t xml:space="preserve">Repeat for all 5</t>
  </si>
  <si>
    <t xml:space="preserve">BlueDart, Delhivery, DTDC, Ecom Express, XpressBees</t>
  </si>
  <si>
    <t xml:space="preserve">One row per partner</t>
  </si>
  <si>
    <t xml:space="preserve">STEP 3 — HOW TO LAYOUT YOUR DASHBOARD SHEET</t>
  </si>
  <si>
    <t xml:space="preserve">Section</t>
  </si>
  <si>
    <t xml:space="preserve">Rows</t>
  </si>
  <si>
    <t xml:space="preserve">What to Put</t>
  </si>
  <si>
    <t xml:space="preserve">Tips</t>
  </si>
  <si>
    <t xml:space="preserve">Title Banner</t>
  </si>
  <si>
    <t xml:space="preserve">Row 1–2</t>
  </si>
  <si>
    <t xml:space="preserve">Project name + your name + date</t>
  </si>
  <si>
    <t xml:space="preserve">Merge cells B1:L2, dark bg</t>
  </si>
  <si>
    <t xml:space="preserve">KPI Cards</t>
  </si>
  <si>
    <t xml:space="preserve">Row 4–7</t>
  </si>
  <si>
    <t xml:space="preserve">4 big number cards (Total/Del/Fail/Rate)</t>
  </si>
  <si>
    <t xml:space="preserve">Merge 2 cols per card, colored bg</t>
  </si>
  <si>
    <t xml:space="preserve">Partner Table</t>
  </si>
  <si>
    <t xml:space="preserve">Row 9–15</t>
  </si>
  <si>
    <t xml:space="preserve">One row per partner with COUNTIFS</t>
  </si>
  <si>
    <t xml:space="preserve">Add header row in orange</t>
  </si>
  <si>
    <t xml:space="preserve">Bar Chart</t>
  </si>
  <si>
    <t xml:space="preserve">Row 17+</t>
  </si>
  <si>
    <t xml:space="preserve">Insert chart from partner table data</t>
  </si>
  <si>
    <t xml:space="preserve">Insert → Chart → Clustered Bar</t>
  </si>
  <si>
    <t xml:space="preserve">Status Pie</t>
  </si>
  <si>
    <t xml:space="preserve">Pie chart showing Delivered/Failed/Pending</t>
  </si>
  <si>
    <t xml:space="preserve">Insert → Chart → Pie</t>
  </si>
  <si>
    <t xml:space="preserve">STEP 4 — FORMATTING CHECKLIST (Do this last)</t>
  </si>
  <si>
    <t xml:space="preserve">☐ Freeze top row</t>
  </si>
  <si>
    <t xml:space="preserve">View tab → Freeze Panes → Freeze Top Row</t>
  </si>
  <si>
    <t xml:space="preserve">☐ Hide gridlines</t>
  </si>
  <si>
    <t xml:space="preserve">View tab → uncheck Gridlines</t>
  </si>
  <si>
    <t xml:space="preserve">☐ Bold all headers</t>
  </si>
  <si>
    <t xml:space="preserve">Select header row → Ctrl+B</t>
  </si>
  <si>
    <t xml:space="preserve">☐ Color KPI cards</t>
  </si>
  <si>
    <t xml:space="preserve">Dark Navy (#232F3E) for headers, Orange (#FF9900) for accents</t>
  </si>
  <si>
    <t xml:space="preserve">☐ Conditional formatting</t>
  </si>
  <si>
    <t xml:space="preserve">Home → Conditional Formatting → Highlight Delivered=Green, Failed=Red</t>
  </si>
  <si>
    <t xml:space="preserve">☐ Auto-fit columns</t>
  </si>
  <si>
    <t xml:space="preserve">Select all → Right click column → Auto Fit Column Width</t>
  </si>
  <si>
    <t xml:space="preserve">☐ Add your name</t>
  </si>
  <si>
    <t xml:space="preserve">Put 'Built by: Sankineni Raju' in the dashboard title</t>
  </si>
  <si>
    <t xml:space="preserve">☐ Format % cells</t>
  </si>
  <si>
    <t xml:space="preserve">Select cell → Home → Number → Percentage</t>
  </si>
  <si>
    <t xml:space="preserve">☐ Rename sheet tabs</t>
  </si>
  <si>
    <t xml:space="preserve">Add emoji icons to sheet names (📊 📦 🔧)</t>
  </si>
  <si>
    <t xml:space="preserve">☐ Save as .xlsx</t>
  </si>
  <si>
    <t xml:space="preserve">File → Save As → Excel Workbook (.xlsx)</t>
  </si>
  <si>
    <t xml:space="preserve">✏️  YOUR DASHBOARD TITLE HERE  |  Built by: [Your Name]  |  Feb-Mar 2026</t>
  </si>
  <si>
    <t xml:space="preserve">KPI 1
Total Orders</t>
  </si>
  <si>
    <t xml:space="preserve">KPI 2
Delivered</t>
  </si>
  <si>
    <t xml:space="preserve">KPI 3
Failed</t>
  </si>
  <si>
    <t xml:space="preserve">KPI 4
Success %</t>
  </si>
  <si>
    <t xml:space="preserve">← Type formula here</t>
  </si>
  <si>
    <t xml:space="preserve">📦  Partner Performance Table — Build below using COUNTIFS</t>
  </si>
  <si>
    <t xml:space="preserve">Assigned</t>
  </si>
  <si>
    <t xml:space="preserve">Success %</t>
  </si>
  <si>
    <t xml:space="preserve">← formula</t>
  </si>
  <si>
    <t xml:space="preserve">📊  Insert your Bar Chart here (from partner table above)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</si>
</sst>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AAAAAA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1"/>
      <color rgb="FF232F3E"/>
      <name val="Arial"/>
      <family val="0"/>
      <charset val="1"/>
    </font>
    <font>
      <i val="true"/>
      <sz val="9"/>
      <color rgb="FFBBBBB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FF9C4"/>
        <bgColor rgb="FFF8F8F8"/>
      </patternFill>
    </fill>
    <fill>
      <patternFill patternType="solid">
        <fgColor rgb="FFD5F5E3"/>
        <bgColor rgb="FFEEEEEE"/>
      </patternFill>
    </fill>
    <fill>
      <patternFill patternType="solid">
        <fgColor rgb="FFFADBD8"/>
        <bgColor rgb="FFEEEEEE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8F8F8"/>
      </patternFill>
    </fill>
    <fill>
      <patternFill patternType="solid">
        <fgColor rgb="FFF2F2F2"/>
        <bgColor rgb="FFEEEEEE"/>
      </patternFill>
    </fill>
    <fill>
      <patternFill patternType="solid">
        <fgColor rgb="FF146EB4"/>
        <bgColor rgb="FF008080"/>
      </patternFill>
    </fill>
    <fill>
      <patternFill patternType="solid">
        <fgColor rgb="FF1E8449"/>
        <bgColor rgb="FF008080"/>
      </patternFill>
    </fill>
    <fill>
      <patternFill patternType="solid">
        <fgColor rgb="FF7D3C98"/>
        <bgColor rgb="FF993366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BBBBB"/>
      </patternFill>
    </fill>
    <fill>
      <patternFill patternType="solid">
        <fgColor rgb="FFF8F8F8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7D3C98"/>
      <rgbColor rgb="FFFFF9C4"/>
      <rgbColor rgb="FFEEEEEE"/>
      <rgbColor rgb="FF660066"/>
      <rgbColor rgb="FFFF8080"/>
      <rgbColor rgb="FF146EB4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8F8F8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1E8449"/>
      <rgbColor rgb="FF003300"/>
      <rgbColor rgb="FF333300"/>
      <rgbColor rgb="FF993300"/>
      <rgbColor rgb="FF993366"/>
      <rgbColor rgb="FF555555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7" min="6" style="1" width="17"/>
    <col collapsed="false" customWidth="true" hidden="false" outlineLevel="0" max="8" min="8" style="1" width="14"/>
    <col collapsed="false" customWidth="true" hidden="false" outlineLevel="0" max="9" min="9" style="1" width="2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8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10</v>
      </c>
      <c r="G2" s="3" t="s">
        <v>14</v>
      </c>
      <c r="H2" s="3"/>
      <c r="I2" s="3" t="s">
        <v>15</v>
      </c>
    </row>
    <row r="3" customFormat="false" ht="18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17</v>
      </c>
      <c r="G3" s="4" t="s">
        <v>17</v>
      </c>
      <c r="H3" s="4" t="n">
        <v>0</v>
      </c>
      <c r="I3" s="4" t="s">
        <v>21</v>
      </c>
    </row>
    <row r="4" customFormat="false" ht="18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12</v>
      </c>
      <c r="E4" s="3" t="s">
        <v>25</v>
      </c>
      <c r="F4" s="3" t="s">
        <v>23</v>
      </c>
      <c r="G4" s="3" t="s">
        <v>14</v>
      </c>
      <c r="H4" s="3"/>
      <c r="I4" s="3" t="s">
        <v>15</v>
      </c>
    </row>
    <row r="5" customFormat="false" ht="18" hidden="false" customHeight="true" outlineLevel="0" collapsed="false">
      <c r="A5" s="4" t="s">
        <v>26</v>
      </c>
      <c r="B5" s="4" t="s">
        <v>27</v>
      </c>
      <c r="C5" s="4" t="s">
        <v>11</v>
      </c>
      <c r="D5" s="4" t="s">
        <v>19</v>
      </c>
      <c r="E5" s="4" t="s">
        <v>13</v>
      </c>
      <c r="F5" s="4" t="s">
        <v>27</v>
      </c>
      <c r="G5" s="4" t="s">
        <v>28</v>
      </c>
      <c r="H5" s="4" t="n">
        <v>1</v>
      </c>
      <c r="I5" s="4" t="s">
        <v>21</v>
      </c>
    </row>
    <row r="6" customFormat="false" ht="18" hidden="false" customHeight="true" outlineLevel="0" collapsed="false">
      <c r="A6" s="4" t="s">
        <v>29</v>
      </c>
      <c r="B6" s="4" t="s">
        <v>30</v>
      </c>
      <c r="C6" s="4" t="s">
        <v>24</v>
      </c>
      <c r="D6" s="4" t="s">
        <v>19</v>
      </c>
      <c r="E6" s="4" t="s">
        <v>13</v>
      </c>
      <c r="F6" s="4" t="s">
        <v>30</v>
      </c>
      <c r="G6" s="4" t="s">
        <v>23</v>
      </c>
      <c r="H6" s="4" t="n">
        <v>1</v>
      </c>
      <c r="I6" s="4" t="s">
        <v>21</v>
      </c>
    </row>
    <row r="7" customFormat="false" ht="18" hidden="false" customHeight="true" outlineLevel="0" collapsed="false">
      <c r="A7" s="3" t="s">
        <v>31</v>
      </c>
      <c r="B7" s="3" t="s">
        <v>32</v>
      </c>
      <c r="C7" s="3" t="s">
        <v>24</v>
      </c>
      <c r="D7" s="3" t="s">
        <v>12</v>
      </c>
      <c r="E7" s="3" t="s">
        <v>33</v>
      </c>
      <c r="F7" s="3" t="s">
        <v>32</v>
      </c>
      <c r="G7" s="3" t="s">
        <v>14</v>
      </c>
      <c r="H7" s="3"/>
      <c r="I7" s="3" t="s">
        <v>15</v>
      </c>
    </row>
    <row r="8" customFormat="false" ht="18" hidden="false" customHeight="true" outlineLevel="0" collapsed="false">
      <c r="A8" s="4" t="s">
        <v>34</v>
      </c>
      <c r="B8" s="4" t="s">
        <v>35</v>
      </c>
      <c r="C8" s="4" t="s">
        <v>24</v>
      </c>
      <c r="D8" s="4" t="s">
        <v>19</v>
      </c>
      <c r="E8" s="4" t="s">
        <v>36</v>
      </c>
      <c r="F8" s="4" t="s">
        <v>35</v>
      </c>
      <c r="G8" s="4" t="s">
        <v>35</v>
      </c>
      <c r="H8" s="4" t="n">
        <v>0</v>
      </c>
      <c r="I8" s="4" t="s">
        <v>21</v>
      </c>
    </row>
    <row r="9" customFormat="false" ht="18" hidden="false" customHeight="true" outlineLevel="0" collapsed="false">
      <c r="A9" s="4" t="s">
        <v>37</v>
      </c>
      <c r="B9" s="4" t="s">
        <v>38</v>
      </c>
      <c r="C9" s="4" t="s">
        <v>39</v>
      </c>
      <c r="D9" s="4" t="s">
        <v>19</v>
      </c>
      <c r="E9" s="4" t="s">
        <v>40</v>
      </c>
      <c r="F9" s="4" t="s">
        <v>38</v>
      </c>
      <c r="G9" s="4" t="s">
        <v>41</v>
      </c>
      <c r="H9" s="4" t="n">
        <v>1</v>
      </c>
      <c r="I9" s="4" t="s">
        <v>21</v>
      </c>
    </row>
    <row r="10" customFormat="false" ht="18" hidden="false" customHeight="true" outlineLevel="0" collapsed="false">
      <c r="A10" s="4" t="s">
        <v>42</v>
      </c>
      <c r="B10" s="4" t="s">
        <v>27</v>
      </c>
      <c r="C10" s="4" t="s">
        <v>43</v>
      </c>
      <c r="D10" s="4" t="s">
        <v>19</v>
      </c>
      <c r="E10" s="4" t="s">
        <v>25</v>
      </c>
      <c r="F10" s="4" t="s">
        <v>27</v>
      </c>
      <c r="G10" s="4" t="s">
        <v>44</v>
      </c>
      <c r="H10" s="4" t="n">
        <v>3</v>
      </c>
      <c r="I10" s="4" t="s">
        <v>21</v>
      </c>
    </row>
    <row r="11" customFormat="false" ht="18" hidden="false" customHeight="true" outlineLevel="0" collapsed="false">
      <c r="A11" s="4" t="s">
        <v>45</v>
      </c>
      <c r="B11" s="4" t="s">
        <v>46</v>
      </c>
      <c r="C11" s="4" t="s">
        <v>43</v>
      </c>
      <c r="D11" s="4" t="s">
        <v>19</v>
      </c>
      <c r="E11" s="4" t="s">
        <v>40</v>
      </c>
      <c r="F11" s="4" t="s">
        <v>46</v>
      </c>
      <c r="G11" s="4" t="s">
        <v>47</v>
      </c>
      <c r="H11" s="4" t="n">
        <v>2</v>
      </c>
      <c r="I11" s="4" t="s">
        <v>21</v>
      </c>
    </row>
    <row r="12" customFormat="false" ht="18" hidden="false" customHeight="true" outlineLevel="0" collapsed="false">
      <c r="A12" s="4" t="s">
        <v>48</v>
      </c>
      <c r="B12" s="4" t="s">
        <v>49</v>
      </c>
      <c r="C12" s="4" t="s">
        <v>39</v>
      </c>
      <c r="D12" s="4" t="s">
        <v>19</v>
      </c>
      <c r="E12" s="4" t="s">
        <v>25</v>
      </c>
      <c r="F12" s="4" t="s">
        <v>49</v>
      </c>
      <c r="G12" s="4" t="s">
        <v>49</v>
      </c>
      <c r="H12" s="4" t="n">
        <v>0</v>
      </c>
      <c r="I12" s="4" t="s">
        <v>21</v>
      </c>
    </row>
    <row r="13" customFormat="false" ht="18" hidden="false" customHeight="true" outlineLevel="0" collapsed="false">
      <c r="A13" s="5" t="s">
        <v>50</v>
      </c>
      <c r="B13" s="5" t="s">
        <v>23</v>
      </c>
      <c r="C13" s="5" t="s">
        <v>43</v>
      </c>
      <c r="D13" s="5" t="s">
        <v>51</v>
      </c>
      <c r="E13" s="5" t="s">
        <v>40</v>
      </c>
      <c r="F13" s="5" t="s">
        <v>23</v>
      </c>
      <c r="G13" s="5" t="s">
        <v>14</v>
      </c>
      <c r="H13" s="5"/>
      <c r="I13" s="5" t="s">
        <v>52</v>
      </c>
    </row>
    <row r="14" customFormat="false" ht="18" hidden="false" customHeight="true" outlineLevel="0" collapsed="false">
      <c r="A14" s="4" t="s">
        <v>53</v>
      </c>
      <c r="B14" s="4" t="s">
        <v>47</v>
      </c>
      <c r="C14" s="4" t="s">
        <v>11</v>
      </c>
      <c r="D14" s="4" t="s">
        <v>19</v>
      </c>
      <c r="E14" s="4" t="s">
        <v>13</v>
      </c>
      <c r="F14" s="4" t="s">
        <v>47</v>
      </c>
      <c r="G14" s="4" t="s">
        <v>54</v>
      </c>
      <c r="H14" s="4" t="n">
        <v>1</v>
      </c>
      <c r="I14" s="4" t="s">
        <v>21</v>
      </c>
    </row>
    <row r="15" customFormat="false" ht="18" hidden="false" customHeight="true" outlineLevel="0" collapsed="false">
      <c r="A15" s="4" t="s">
        <v>55</v>
      </c>
      <c r="B15" s="4" t="s">
        <v>56</v>
      </c>
      <c r="C15" s="4" t="s">
        <v>11</v>
      </c>
      <c r="D15" s="4" t="s">
        <v>19</v>
      </c>
      <c r="E15" s="4" t="s">
        <v>20</v>
      </c>
      <c r="F15" s="4" t="s">
        <v>56</v>
      </c>
      <c r="G15" s="4" t="s">
        <v>56</v>
      </c>
      <c r="H15" s="4" t="n">
        <v>0</v>
      </c>
      <c r="I15" s="4" t="s">
        <v>21</v>
      </c>
    </row>
    <row r="16" customFormat="false" ht="18" hidden="false" customHeight="true" outlineLevel="0" collapsed="false">
      <c r="A16" s="4" t="s">
        <v>57</v>
      </c>
      <c r="B16" s="4" t="s">
        <v>58</v>
      </c>
      <c r="C16" s="4" t="s">
        <v>43</v>
      </c>
      <c r="D16" s="4" t="s">
        <v>19</v>
      </c>
      <c r="E16" s="4" t="s">
        <v>59</v>
      </c>
      <c r="F16" s="4" t="s">
        <v>58</v>
      </c>
      <c r="G16" s="4" t="s">
        <v>54</v>
      </c>
      <c r="H16" s="4" t="n">
        <v>2</v>
      </c>
      <c r="I16" s="4" t="s">
        <v>21</v>
      </c>
    </row>
    <row r="17" customFormat="false" ht="18" hidden="false" customHeight="true" outlineLevel="0" collapsed="false">
      <c r="A17" s="4" t="s">
        <v>60</v>
      </c>
      <c r="B17" s="4" t="s">
        <v>61</v>
      </c>
      <c r="C17" s="4" t="s">
        <v>43</v>
      </c>
      <c r="D17" s="4" t="s">
        <v>19</v>
      </c>
      <c r="E17" s="4" t="s">
        <v>40</v>
      </c>
      <c r="F17" s="4" t="s">
        <v>61</v>
      </c>
      <c r="G17" s="4" t="s">
        <v>38</v>
      </c>
      <c r="H17" s="4" t="n">
        <v>2</v>
      </c>
      <c r="I17" s="4" t="s">
        <v>21</v>
      </c>
    </row>
    <row r="18" customFormat="false" ht="18" hidden="false" customHeight="true" outlineLevel="0" collapsed="false">
      <c r="A18" s="3" t="s">
        <v>62</v>
      </c>
      <c r="B18" s="3" t="s">
        <v>30</v>
      </c>
      <c r="C18" s="3" t="s">
        <v>11</v>
      </c>
      <c r="D18" s="3" t="s">
        <v>12</v>
      </c>
      <c r="E18" s="3" t="s">
        <v>63</v>
      </c>
      <c r="F18" s="3" t="s">
        <v>30</v>
      </c>
      <c r="G18" s="3" t="s">
        <v>14</v>
      </c>
      <c r="H18" s="3"/>
      <c r="I18" s="3" t="s">
        <v>15</v>
      </c>
    </row>
    <row r="19" customFormat="false" ht="18" hidden="false" customHeight="true" outlineLevel="0" collapsed="false">
      <c r="A19" s="3" t="s">
        <v>64</v>
      </c>
      <c r="B19" s="3" t="s">
        <v>65</v>
      </c>
      <c r="C19" s="3" t="s">
        <v>18</v>
      </c>
      <c r="D19" s="3" t="s">
        <v>12</v>
      </c>
      <c r="E19" s="3" t="s">
        <v>63</v>
      </c>
      <c r="F19" s="3" t="s">
        <v>65</v>
      </c>
      <c r="G19" s="3" t="s">
        <v>14</v>
      </c>
      <c r="H19" s="3"/>
      <c r="I19" s="3" t="s">
        <v>15</v>
      </c>
    </row>
    <row r="20" customFormat="false" ht="18" hidden="false" customHeight="true" outlineLevel="0" collapsed="false">
      <c r="A20" s="4" t="s">
        <v>66</v>
      </c>
      <c r="B20" s="4" t="s">
        <v>47</v>
      </c>
      <c r="C20" s="4" t="s">
        <v>43</v>
      </c>
      <c r="D20" s="4" t="s">
        <v>19</v>
      </c>
      <c r="E20" s="4" t="s">
        <v>20</v>
      </c>
      <c r="F20" s="4" t="s">
        <v>47</v>
      </c>
      <c r="G20" s="4" t="s">
        <v>10</v>
      </c>
      <c r="H20" s="4" t="n">
        <v>2</v>
      </c>
      <c r="I20" s="4" t="s">
        <v>21</v>
      </c>
    </row>
    <row r="21" customFormat="false" ht="18" hidden="false" customHeight="true" outlineLevel="0" collapsed="false">
      <c r="A21" s="4" t="s">
        <v>67</v>
      </c>
      <c r="B21" s="4" t="s">
        <v>35</v>
      </c>
      <c r="C21" s="4" t="s">
        <v>18</v>
      </c>
      <c r="D21" s="4" t="s">
        <v>19</v>
      </c>
      <c r="E21" s="4" t="s">
        <v>13</v>
      </c>
      <c r="F21" s="4" t="s">
        <v>35</v>
      </c>
      <c r="G21" s="4" t="s">
        <v>56</v>
      </c>
      <c r="H21" s="4" t="n">
        <v>2</v>
      </c>
      <c r="I21" s="4" t="s">
        <v>21</v>
      </c>
    </row>
    <row r="22" customFormat="false" ht="18" hidden="false" customHeight="true" outlineLevel="0" collapsed="false">
      <c r="A22" s="4" t="s">
        <v>68</v>
      </c>
      <c r="B22" s="4" t="s">
        <v>61</v>
      </c>
      <c r="C22" s="4" t="s">
        <v>43</v>
      </c>
      <c r="D22" s="4" t="s">
        <v>19</v>
      </c>
      <c r="E22" s="4" t="s">
        <v>25</v>
      </c>
      <c r="F22" s="4" t="s">
        <v>61</v>
      </c>
      <c r="G22" s="4" t="s">
        <v>38</v>
      </c>
      <c r="H22" s="4" t="n">
        <v>2</v>
      </c>
      <c r="I22" s="4" t="s">
        <v>21</v>
      </c>
    </row>
    <row r="23" customFormat="false" ht="18" hidden="false" customHeight="true" outlineLevel="0" collapsed="false">
      <c r="A23" s="4" t="s">
        <v>69</v>
      </c>
      <c r="B23" s="4" t="s">
        <v>58</v>
      </c>
      <c r="C23" s="4" t="s">
        <v>39</v>
      </c>
      <c r="D23" s="4" t="s">
        <v>19</v>
      </c>
      <c r="E23" s="4" t="s">
        <v>33</v>
      </c>
      <c r="F23" s="4" t="s">
        <v>58</v>
      </c>
      <c r="G23" s="4" t="s">
        <v>10</v>
      </c>
      <c r="H23" s="4" t="n">
        <v>3</v>
      </c>
      <c r="I23" s="4" t="s">
        <v>21</v>
      </c>
    </row>
    <row r="24" customFormat="false" ht="18" hidden="false" customHeight="true" outlineLevel="0" collapsed="false">
      <c r="A24" s="4" t="s">
        <v>70</v>
      </c>
      <c r="B24" s="4" t="s">
        <v>32</v>
      </c>
      <c r="C24" s="4" t="s">
        <v>43</v>
      </c>
      <c r="D24" s="4" t="s">
        <v>19</v>
      </c>
      <c r="E24" s="4" t="s">
        <v>63</v>
      </c>
      <c r="F24" s="4" t="s">
        <v>32</v>
      </c>
      <c r="G24" s="4" t="s">
        <v>41</v>
      </c>
      <c r="H24" s="4" t="n">
        <v>2</v>
      </c>
      <c r="I24" s="4" t="s">
        <v>21</v>
      </c>
    </row>
    <row r="25" customFormat="false" ht="18" hidden="false" customHeight="true" outlineLevel="0" collapsed="false">
      <c r="A25" s="3" t="s">
        <v>71</v>
      </c>
      <c r="B25" s="3" t="s">
        <v>23</v>
      </c>
      <c r="C25" s="3" t="s">
        <v>24</v>
      </c>
      <c r="D25" s="3" t="s">
        <v>12</v>
      </c>
      <c r="E25" s="3" t="s">
        <v>33</v>
      </c>
      <c r="F25" s="3" t="s">
        <v>23</v>
      </c>
      <c r="G25" s="3" t="s">
        <v>14</v>
      </c>
      <c r="H25" s="3"/>
      <c r="I25" s="3" t="s">
        <v>15</v>
      </c>
    </row>
    <row r="26" customFormat="false" ht="18" hidden="false" customHeight="true" outlineLevel="0" collapsed="false">
      <c r="A26" s="4" t="s">
        <v>72</v>
      </c>
      <c r="B26" s="4" t="s">
        <v>17</v>
      </c>
      <c r="C26" s="4" t="s">
        <v>43</v>
      </c>
      <c r="D26" s="4" t="s">
        <v>19</v>
      </c>
      <c r="E26" s="4" t="s">
        <v>20</v>
      </c>
      <c r="F26" s="4" t="s">
        <v>17</v>
      </c>
      <c r="G26" s="4" t="s">
        <v>32</v>
      </c>
      <c r="H26" s="4" t="n">
        <v>3</v>
      </c>
      <c r="I26" s="4" t="s">
        <v>21</v>
      </c>
    </row>
    <row r="27" customFormat="false" ht="18" hidden="false" customHeight="true" outlineLevel="0" collapsed="false">
      <c r="A27" s="4" t="s">
        <v>73</v>
      </c>
      <c r="B27" s="4" t="s">
        <v>17</v>
      </c>
      <c r="C27" s="4" t="s">
        <v>11</v>
      </c>
      <c r="D27" s="4" t="s">
        <v>19</v>
      </c>
      <c r="E27" s="4" t="s">
        <v>25</v>
      </c>
      <c r="F27" s="4" t="s">
        <v>17</v>
      </c>
      <c r="G27" s="4" t="s">
        <v>44</v>
      </c>
      <c r="H27" s="4" t="n">
        <v>1</v>
      </c>
      <c r="I27" s="4" t="s">
        <v>21</v>
      </c>
    </row>
    <row r="28" customFormat="false" ht="18" hidden="false" customHeight="true" outlineLevel="0" collapsed="false">
      <c r="A28" s="3" t="s">
        <v>74</v>
      </c>
      <c r="B28" s="3" t="s">
        <v>49</v>
      </c>
      <c r="C28" s="3" t="s">
        <v>39</v>
      </c>
      <c r="D28" s="3" t="s">
        <v>12</v>
      </c>
      <c r="E28" s="3" t="s">
        <v>25</v>
      </c>
      <c r="F28" s="3" t="s">
        <v>49</v>
      </c>
      <c r="G28" s="3" t="s">
        <v>14</v>
      </c>
      <c r="H28" s="3"/>
      <c r="I28" s="3" t="s">
        <v>15</v>
      </c>
    </row>
    <row r="29" customFormat="false" ht="18" hidden="false" customHeight="true" outlineLevel="0" collapsed="false">
      <c r="A29" s="4" t="s">
        <v>75</v>
      </c>
      <c r="B29" s="4" t="s">
        <v>76</v>
      </c>
      <c r="C29" s="4" t="s">
        <v>24</v>
      </c>
      <c r="D29" s="4" t="s">
        <v>19</v>
      </c>
      <c r="E29" s="4" t="s">
        <v>59</v>
      </c>
      <c r="F29" s="4" t="s">
        <v>76</v>
      </c>
      <c r="G29" s="4" t="s">
        <v>23</v>
      </c>
      <c r="H29" s="4" t="n">
        <v>2</v>
      </c>
      <c r="I29" s="4" t="s">
        <v>21</v>
      </c>
    </row>
    <row r="30" customFormat="false" ht="18" hidden="false" customHeight="true" outlineLevel="0" collapsed="false">
      <c r="A30" s="5" t="s">
        <v>77</v>
      </c>
      <c r="B30" s="5" t="s">
        <v>47</v>
      </c>
      <c r="C30" s="5" t="s">
        <v>11</v>
      </c>
      <c r="D30" s="5" t="s">
        <v>51</v>
      </c>
      <c r="E30" s="5" t="s">
        <v>25</v>
      </c>
      <c r="F30" s="5" t="s">
        <v>47</v>
      </c>
      <c r="G30" s="5" t="s">
        <v>14</v>
      </c>
      <c r="H30" s="5"/>
      <c r="I30" s="5" t="s">
        <v>52</v>
      </c>
    </row>
    <row r="31" customFormat="false" ht="18" hidden="false" customHeight="true" outlineLevel="0" collapsed="false">
      <c r="A31" s="5" t="s">
        <v>78</v>
      </c>
      <c r="B31" s="5" t="s">
        <v>28</v>
      </c>
      <c r="C31" s="5" t="s">
        <v>43</v>
      </c>
      <c r="D31" s="5" t="s">
        <v>51</v>
      </c>
      <c r="E31" s="5" t="s">
        <v>40</v>
      </c>
      <c r="F31" s="5" t="s">
        <v>28</v>
      </c>
      <c r="G31" s="5" t="s">
        <v>14</v>
      </c>
      <c r="H31" s="5"/>
      <c r="I31" s="5" t="s">
        <v>52</v>
      </c>
    </row>
    <row r="32" customFormat="false" ht="18" hidden="false" customHeight="true" outlineLevel="0" collapsed="false">
      <c r="A32" s="4" t="s">
        <v>79</v>
      </c>
      <c r="B32" s="4" t="s">
        <v>65</v>
      </c>
      <c r="C32" s="4" t="s">
        <v>39</v>
      </c>
      <c r="D32" s="4" t="s">
        <v>19</v>
      </c>
      <c r="E32" s="4" t="s">
        <v>63</v>
      </c>
      <c r="F32" s="4" t="s">
        <v>65</v>
      </c>
      <c r="G32" s="4" t="s">
        <v>65</v>
      </c>
      <c r="H32" s="4" t="n">
        <v>0</v>
      </c>
      <c r="I32" s="4" t="s">
        <v>21</v>
      </c>
    </row>
    <row r="33" customFormat="false" ht="18" hidden="false" customHeight="true" outlineLevel="0" collapsed="false">
      <c r="A33" s="3" t="s">
        <v>80</v>
      </c>
      <c r="B33" s="3" t="s">
        <v>76</v>
      </c>
      <c r="C33" s="3" t="s">
        <v>43</v>
      </c>
      <c r="D33" s="3" t="s">
        <v>12</v>
      </c>
      <c r="E33" s="3" t="s">
        <v>63</v>
      </c>
      <c r="F33" s="3" t="s">
        <v>76</v>
      </c>
      <c r="G33" s="3" t="s">
        <v>14</v>
      </c>
      <c r="H33" s="3"/>
      <c r="I33" s="3" t="s">
        <v>15</v>
      </c>
    </row>
    <row r="34" customFormat="false" ht="18" hidden="false" customHeight="true" outlineLevel="0" collapsed="false">
      <c r="A34" s="4" t="s">
        <v>81</v>
      </c>
      <c r="B34" s="4" t="s">
        <v>17</v>
      </c>
      <c r="C34" s="4" t="s">
        <v>43</v>
      </c>
      <c r="D34" s="4" t="s">
        <v>19</v>
      </c>
      <c r="E34" s="4" t="s">
        <v>20</v>
      </c>
      <c r="F34" s="4" t="s">
        <v>17</v>
      </c>
      <c r="G34" s="4" t="s">
        <v>61</v>
      </c>
      <c r="H34" s="4" t="n">
        <v>2</v>
      </c>
      <c r="I34" s="4" t="s">
        <v>21</v>
      </c>
    </row>
    <row r="35" customFormat="false" ht="18" hidden="false" customHeight="true" outlineLevel="0" collapsed="false">
      <c r="A35" s="4" t="s">
        <v>82</v>
      </c>
      <c r="B35" s="4" t="s">
        <v>46</v>
      </c>
      <c r="C35" s="4" t="s">
        <v>24</v>
      </c>
      <c r="D35" s="4" t="s">
        <v>19</v>
      </c>
      <c r="E35" s="4" t="s">
        <v>13</v>
      </c>
      <c r="F35" s="4" t="s">
        <v>46</v>
      </c>
      <c r="G35" s="4" t="s">
        <v>47</v>
      </c>
      <c r="H35" s="4" t="n">
        <v>2</v>
      </c>
      <c r="I35" s="4" t="s">
        <v>21</v>
      </c>
    </row>
    <row r="36" customFormat="false" ht="18" hidden="false" customHeight="true" outlineLevel="0" collapsed="false">
      <c r="A36" s="4" t="s">
        <v>83</v>
      </c>
      <c r="B36" s="4" t="s">
        <v>84</v>
      </c>
      <c r="C36" s="4" t="s">
        <v>11</v>
      </c>
      <c r="D36" s="4" t="s">
        <v>19</v>
      </c>
      <c r="E36" s="4" t="s">
        <v>25</v>
      </c>
      <c r="F36" s="4" t="s">
        <v>84</v>
      </c>
      <c r="G36" s="4" t="s">
        <v>85</v>
      </c>
      <c r="H36" s="4" t="n">
        <v>2</v>
      </c>
      <c r="I36" s="4" t="s">
        <v>21</v>
      </c>
    </row>
    <row r="37" customFormat="false" ht="18" hidden="false" customHeight="true" outlineLevel="0" collapsed="false">
      <c r="A37" s="4" t="s">
        <v>86</v>
      </c>
      <c r="B37" s="4" t="s">
        <v>23</v>
      </c>
      <c r="C37" s="4" t="s">
        <v>11</v>
      </c>
      <c r="D37" s="4" t="s">
        <v>19</v>
      </c>
      <c r="E37" s="4" t="s">
        <v>20</v>
      </c>
      <c r="F37" s="4" t="s">
        <v>23</v>
      </c>
      <c r="G37" s="4" t="s">
        <v>23</v>
      </c>
      <c r="H37" s="4" t="n">
        <v>0</v>
      </c>
      <c r="I37" s="4" t="s">
        <v>21</v>
      </c>
    </row>
    <row r="38" customFormat="false" ht="18" hidden="false" customHeight="true" outlineLevel="0" collapsed="false">
      <c r="A38" s="4" t="s">
        <v>87</v>
      </c>
      <c r="B38" s="4" t="s">
        <v>88</v>
      </c>
      <c r="C38" s="4" t="s">
        <v>39</v>
      </c>
      <c r="D38" s="4" t="s">
        <v>19</v>
      </c>
      <c r="E38" s="4" t="s">
        <v>25</v>
      </c>
      <c r="F38" s="4" t="s">
        <v>88</v>
      </c>
      <c r="G38" s="4" t="s">
        <v>35</v>
      </c>
      <c r="H38" s="4" t="n">
        <v>1</v>
      </c>
      <c r="I38" s="4" t="s">
        <v>21</v>
      </c>
    </row>
    <row r="39" customFormat="false" ht="18" hidden="false" customHeight="true" outlineLevel="0" collapsed="false">
      <c r="A39" s="4" t="s">
        <v>89</v>
      </c>
      <c r="B39" s="4" t="s">
        <v>38</v>
      </c>
      <c r="C39" s="4" t="s">
        <v>39</v>
      </c>
      <c r="D39" s="4" t="s">
        <v>19</v>
      </c>
      <c r="E39" s="4" t="s">
        <v>63</v>
      </c>
      <c r="F39" s="4" t="s">
        <v>38</v>
      </c>
      <c r="G39" s="4" t="s">
        <v>84</v>
      </c>
      <c r="H39" s="4" t="n">
        <v>3</v>
      </c>
      <c r="I39" s="4" t="s">
        <v>21</v>
      </c>
    </row>
    <row r="40" customFormat="false" ht="18" hidden="false" customHeight="true" outlineLevel="0" collapsed="false">
      <c r="A40" s="4" t="s">
        <v>90</v>
      </c>
      <c r="B40" s="4" t="s">
        <v>54</v>
      </c>
      <c r="C40" s="4" t="s">
        <v>24</v>
      </c>
      <c r="D40" s="4" t="s">
        <v>19</v>
      </c>
      <c r="E40" s="4" t="s">
        <v>20</v>
      </c>
      <c r="F40" s="4" t="s">
        <v>54</v>
      </c>
      <c r="G40" s="4" t="s">
        <v>88</v>
      </c>
      <c r="H40" s="4" t="n">
        <v>2</v>
      </c>
      <c r="I40" s="4" t="s">
        <v>21</v>
      </c>
    </row>
    <row r="41" customFormat="false" ht="18" hidden="false" customHeight="true" outlineLevel="0" collapsed="false">
      <c r="A41" s="4" t="s">
        <v>91</v>
      </c>
      <c r="B41" s="4" t="s">
        <v>76</v>
      </c>
      <c r="C41" s="4" t="s">
        <v>43</v>
      </c>
      <c r="D41" s="4" t="s">
        <v>19</v>
      </c>
      <c r="E41" s="4" t="s">
        <v>59</v>
      </c>
      <c r="F41" s="4" t="s">
        <v>76</v>
      </c>
      <c r="G41" s="4" t="s">
        <v>46</v>
      </c>
      <c r="H41" s="4" t="n">
        <v>3</v>
      </c>
      <c r="I41" s="4" t="s">
        <v>21</v>
      </c>
    </row>
    <row r="42" customFormat="false" ht="18" hidden="false" customHeight="true" outlineLevel="0" collapsed="false">
      <c r="A42" s="4" t="s">
        <v>92</v>
      </c>
      <c r="B42" s="4" t="s">
        <v>27</v>
      </c>
      <c r="C42" s="4" t="s">
        <v>18</v>
      </c>
      <c r="D42" s="4" t="s">
        <v>19</v>
      </c>
      <c r="E42" s="4" t="s">
        <v>20</v>
      </c>
      <c r="F42" s="4" t="s">
        <v>27</v>
      </c>
      <c r="G42" s="4" t="s">
        <v>17</v>
      </c>
      <c r="H42" s="4" t="n">
        <v>2</v>
      </c>
      <c r="I42" s="4" t="s">
        <v>21</v>
      </c>
    </row>
    <row r="43" customFormat="false" ht="18" hidden="false" customHeight="true" outlineLevel="0" collapsed="false">
      <c r="A43" s="4" t="s">
        <v>93</v>
      </c>
      <c r="B43" s="4" t="s">
        <v>23</v>
      </c>
      <c r="C43" s="4" t="s">
        <v>24</v>
      </c>
      <c r="D43" s="4" t="s">
        <v>19</v>
      </c>
      <c r="E43" s="4" t="s">
        <v>20</v>
      </c>
      <c r="F43" s="4" t="s">
        <v>23</v>
      </c>
      <c r="G43" s="4" t="s">
        <v>46</v>
      </c>
      <c r="H43" s="4" t="n">
        <v>1</v>
      </c>
      <c r="I43" s="4" t="s">
        <v>21</v>
      </c>
    </row>
    <row r="44" customFormat="false" ht="18" hidden="false" customHeight="true" outlineLevel="0" collapsed="false">
      <c r="A44" s="4" t="s">
        <v>94</v>
      </c>
      <c r="B44" s="4" t="s">
        <v>32</v>
      </c>
      <c r="C44" s="4" t="s">
        <v>11</v>
      </c>
      <c r="D44" s="4" t="s">
        <v>19</v>
      </c>
      <c r="E44" s="4" t="s">
        <v>13</v>
      </c>
      <c r="F44" s="4" t="s">
        <v>32</v>
      </c>
      <c r="G44" s="4" t="s">
        <v>32</v>
      </c>
      <c r="H44" s="4" t="n">
        <v>0</v>
      </c>
      <c r="I44" s="4" t="s">
        <v>21</v>
      </c>
    </row>
    <row r="45" customFormat="false" ht="18" hidden="false" customHeight="true" outlineLevel="0" collapsed="false">
      <c r="A45" s="4" t="s">
        <v>95</v>
      </c>
      <c r="B45" s="4" t="s">
        <v>76</v>
      </c>
      <c r="C45" s="4" t="s">
        <v>43</v>
      </c>
      <c r="D45" s="4" t="s">
        <v>19</v>
      </c>
      <c r="E45" s="4" t="s">
        <v>25</v>
      </c>
      <c r="F45" s="4" t="s">
        <v>76</v>
      </c>
      <c r="G45" s="4" t="s">
        <v>30</v>
      </c>
      <c r="H45" s="4" t="n">
        <v>1</v>
      </c>
      <c r="I45" s="4" t="s">
        <v>21</v>
      </c>
    </row>
    <row r="46" customFormat="false" ht="18" hidden="false" customHeight="true" outlineLevel="0" collapsed="false">
      <c r="A46" s="4" t="s">
        <v>96</v>
      </c>
      <c r="B46" s="4" t="s">
        <v>30</v>
      </c>
      <c r="C46" s="4" t="s">
        <v>39</v>
      </c>
      <c r="D46" s="4" t="s">
        <v>19</v>
      </c>
      <c r="E46" s="4" t="s">
        <v>20</v>
      </c>
      <c r="F46" s="4" t="s">
        <v>30</v>
      </c>
      <c r="G46" s="4" t="s">
        <v>23</v>
      </c>
      <c r="H46" s="4" t="n">
        <v>1</v>
      </c>
      <c r="I46" s="4" t="s">
        <v>21</v>
      </c>
    </row>
    <row r="47" customFormat="false" ht="18" hidden="false" customHeight="true" outlineLevel="0" collapsed="false">
      <c r="A47" s="3" t="s">
        <v>97</v>
      </c>
      <c r="B47" s="3" t="s">
        <v>32</v>
      </c>
      <c r="C47" s="3" t="s">
        <v>24</v>
      </c>
      <c r="D47" s="3" t="s">
        <v>12</v>
      </c>
      <c r="E47" s="3" t="s">
        <v>59</v>
      </c>
      <c r="F47" s="3" t="s">
        <v>32</v>
      </c>
      <c r="G47" s="3" t="s">
        <v>14</v>
      </c>
      <c r="H47" s="3"/>
      <c r="I47" s="3" t="s">
        <v>15</v>
      </c>
    </row>
    <row r="48" customFormat="false" ht="18" hidden="false" customHeight="true" outlineLevel="0" collapsed="false">
      <c r="A48" s="4" t="s">
        <v>98</v>
      </c>
      <c r="B48" s="4" t="s">
        <v>28</v>
      </c>
      <c r="C48" s="4" t="s">
        <v>39</v>
      </c>
      <c r="D48" s="4" t="s">
        <v>19</v>
      </c>
      <c r="E48" s="4" t="s">
        <v>20</v>
      </c>
      <c r="F48" s="4" t="s">
        <v>28</v>
      </c>
      <c r="G48" s="4" t="s">
        <v>28</v>
      </c>
      <c r="H48" s="4" t="n">
        <v>0</v>
      </c>
      <c r="I48" s="4" t="s">
        <v>21</v>
      </c>
    </row>
    <row r="49" customFormat="false" ht="18" hidden="false" customHeight="true" outlineLevel="0" collapsed="false">
      <c r="A49" s="3" t="s">
        <v>99</v>
      </c>
      <c r="B49" s="3" t="s">
        <v>85</v>
      </c>
      <c r="C49" s="3" t="s">
        <v>39</v>
      </c>
      <c r="D49" s="3" t="s">
        <v>12</v>
      </c>
      <c r="E49" s="3" t="s">
        <v>40</v>
      </c>
      <c r="F49" s="3" t="s">
        <v>85</v>
      </c>
      <c r="G49" s="3" t="s">
        <v>14</v>
      </c>
      <c r="H49" s="3"/>
      <c r="I49" s="3" t="s">
        <v>15</v>
      </c>
    </row>
    <row r="50" customFormat="false" ht="18" hidden="false" customHeight="true" outlineLevel="0" collapsed="false">
      <c r="A50" s="4" t="s">
        <v>100</v>
      </c>
      <c r="B50" s="4" t="s">
        <v>47</v>
      </c>
      <c r="C50" s="4" t="s">
        <v>39</v>
      </c>
      <c r="D50" s="4" t="s">
        <v>19</v>
      </c>
      <c r="E50" s="4" t="s">
        <v>13</v>
      </c>
      <c r="F50" s="4" t="s">
        <v>47</v>
      </c>
      <c r="G50" s="4" t="s">
        <v>47</v>
      </c>
      <c r="H50" s="4" t="n">
        <v>0</v>
      </c>
      <c r="I50" s="4" t="s">
        <v>21</v>
      </c>
    </row>
    <row r="51" customFormat="false" ht="18" hidden="false" customHeight="true" outlineLevel="0" collapsed="false">
      <c r="A51" s="4" t="s">
        <v>101</v>
      </c>
      <c r="B51" s="4" t="s">
        <v>35</v>
      </c>
      <c r="C51" s="4" t="s">
        <v>39</v>
      </c>
      <c r="D51" s="4" t="s">
        <v>19</v>
      </c>
      <c r="E51" s="4" t="s">
        <v>40</v>
      </c>
      <c r="F51" s="4" t="s">
        <v>35</v>
      </c>
      <c r="G51" s="4" t="s">
        <v>35</v>
      </c>
      <c r="H51" s="4" t="n">
        <v>0</v>
      </c>
      <c r="I51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20"/>
  </cols>
  <sheetData>
    <row r="1" customFormat="false" ht="30" hidden="false" customHeight="true" outlineLevel="0" collapsed="false">
      <c r="B1" s="6" t="s">
        <v>102</v>
      </c>
      <c r="C1" s="6"/>
      <c r="D1" s="6"/>
      <c r="E1" s="6"/>
    </row>
    <row r="2" customFormat="false" ht="13.5" hidden="false" customHeight="true" outlineLevel="0" collapsed="false">
      <c r="B2" s="6"/>
      <c r="C2" s="6"/>
      <c r="D2" s="6"/>
      <c r="E2" s="6"/>
    </row>
    <row r="3" customFormat="false" ht="18" hidden="false" customHeight="true" outlineLevel="0" collapsed="false">
      <c r="B3" s="7" t="s">
        <v>103</v>
      </c>
      <c r="C3" s="7"/>
      <c r="D3" s="7"/>
      <c r="E3" s="7"/>
    </row>
    <row r="5" customFormat="false" ht="21.75" hidden="false" customHeight="true" outlineLevel="0" collapsed="false">
      <c r="B5" s="8" t="s">
        <v>104</v>
      </c>
      <c r="C5" s="8"/>
      <c r="D5" s="8"/>
      <c r="E5" s="8"/>
    </row>
    <row r="6" customFormat="false" ht="21.75" hidden="false" customHeight="true" outlineLevel="0" collapsed="false">
      <c r="B6" s="9" t="s">
        <v>105</v>
      </c>
      <c r="C6" s="10" t="s">
        <v>106</v>
      </c>
      <c r="D6" s="10" t="s">
        <v>107</v>
      </c>
      <c r="E6" s="10" t="s">
        <v>108</v>
      </c>
    </row>
    <row r="7" customFormat="false" ht="21.75" hidden="false" customHeight="true" outlineLevel="0" collapsed="false">
      <c r="B7" s="11" t="s">
        <v>109</v>
      </c>
      <c r="C7" s="12" t="s">
        <v>110</v>
      </c>
      <c r="D7" s="12" t="n">
        <f aca="false">COUNTA(B2:B51)</f>
        <v>34</v>
      </c>
      <c r="E7" s="12" t="s">
        <v>111</v>
      </c>
    </row>
    <row r="8" customFormat="false" ht="21.75" hidden="false" customHeight="true" outlineLevel="0" collapsed="false">
      <c r="B8" s="13" t="s">
        <v>112</v>
      </c>
      <c r="C8" s="14" t="s">
        <v>113</v>
      </c>
      <c r="D8" s="14" t="n">
        <f aca="false">COUNTIF(D2:D51,"Delivered")</f>
        <v>0</v>
      </c>
      <c r="E8" s="14" t="s">
        <v>114</v>
      </c>
    </row>
    <row r="9" customFormat="false" ht="21.75" hidden="false" customHeight="true" outlineLevel="0" collapsed="false">
      <c r="B9" s="11" t="s">
        <v>115</v>
      </c>
      <c r="C9" s="12" t="s">
        <v>116</v>
      </c>
      <c r="D9" s="12" t="n">
        <f aca="false">COUNTIF(D2:D51,"Failed")</f>
        <v>0</v>
      </c>
      <c r="E9" s="12" t="s">
        <v>114</v>
      </c>
    </row>
    <row r="10" customFormat="false" ht="21.75" hidden="false" customHeight="true" outlineLevel="0" collapsed="false">
      <c r="B10" s="13" t="s">
        <v>117</v>
      </c>
      <c r="C10" s="14" t="s">
        <v>118</v>
      </c>
      <c r="D10" s="14" t="n">
        <f aca="false">COUNTIF(D2:D51,"Pending")</f>
        <v>0</v>
      </c>
      <c r="E10" s="14" t="s">
        <v>114</v>
      </c>
    </row>
    <row r="11" customFormat="false" ht="21.75" hidden="false" customHeight="true" outlineLevel="0" collapsed="false">
      <c r="B11" s="11" t="s">
        <v>119</v>
      </c>
      <c r="C11" s="12" t="s">
        <v>120</v>
      </c>
      <c r="D11" s="12" t="s">
        <v>121</v>
      </c>
      <c r="E11" s="12" t="s">
        <v>122</v>
      </c>
    </row>
    <row r="12" customFormat="false" ht="21.75" hidden="false" customHeight="true" outlineLevel="0" collapsed="false">
      <c r="B12" s="13" t="s">
        <v>123</v>
      </c>
      <c r="C12" s="14" t="s">
        <v>124</v>
      </c>
      <c r="D12" s="14" t="s">
        <v>125</v>
      </c>
      <c r="E12" s="14" t="s">
        <v>126</v>
      </c>
    </row>
    <row r="14" customFormat="false" ht="21.75" hidden="false" customHeight="true" outlineLevel="0" collapsed="false">
      <c r="B14" s="15" t="s">
        <v>127</v>
      </c>
      <c r="C14" s="15"/>
      <c r="D14" s="15"/>
      <c r="E14" s="15"/>
    </row>
    <row r="15" customFormat="false" ht="25.5" hidden="false" customHeight="true" outlineLevel="0" collapsed="false">
      <c r="B15" s="16" t="s">
        <v>105</v>
      </c>
      <c r="C15" s="16" t="s">
        <v>128</v>
      </c>
      <c r="D15" s="16" t="s">
        <v>129</v>
      </c>
    </row>
    <row r="16" customFormat="false" ht="25.5" hidden="false" customHeight="true" outlineLevel="0" collapsed="false">
      <c r="B16" s="14" t="s">
        <v>130</v>
      </c>
      <c r="C16" s="14" t="n">
        <f aca="false">COUNTIF('📦 Raw Data - Delivery Log'!C2:C51,"BlueDart")</f>
        <v>10</v>
      </c>
      <c r="D16" s="14" t="s">
        <v>131</v>
      </c>
    </row>
    <row r="17" customFormat="false" ht="25.5" hidden="false" customHeight="true" outlineLevel="0" collapsed="false">
      <c r="B17" s="12" t="s">
        <v>132</v>
      </c>
      <c r="C17" s="12" t="n">
        <f aca="false">COUNTIFS(C2:C51,"BlueDart",D2:D51,"Delivered")</f>
        <v>0</v>
      </c>
      <c r="D17" s="12" t="s">
        <v>133</v>
      </c>
    </row>
    <row r="18" customFormat="false" ht="25.5" hidden="false" customHeight="true" outlineLevel="0" collapsed="false">
      <c r="B18" s="14" t="s">
        <v>134</v>
      </c>
      <c r="C18" s="14" t="n">
        <f aca="false">COUNTIFS(C2:C51,"BlueDart",D2:D51,"Failed")</f>
        <v>0</v>
      </c>
      <c r="D18" s="14" t="s">
        <v>135</v>
      </c>
    </row>
    <row r="19" customFormat="false" ht="25.5" hidden="false" customHeight="true" outlineLevel="0" collapsed="false">
      <c r="B19" s="12" t="s">
        <v>136</v>
      </c>
      <c r="C19" s="12" t="s">
        <v>137</v>
      </c>
      <c r="D19" s="12" t="s">
        <v>138</v>
      </c>
    </row>
    <row r="20" customFormat="false" ht="25.5" hidden="false" customHeight="true" outlineLevel="0" collapsed="false">
      <c r="B20" s="14" t="s">
        <v>139</v>
      </c>
      <c r="C20" s="14" t="s">
        <v>140</v>
      </c>
      <c r="D20" s="14" t="s">
        <v>141</v>
      </c>
    </row>
    <row r="22" customFormat="false" ht="21.75" hidden="false" customHeight="true" outlineLevel="0" collapsed="false">
      <c r="B22" s="17" t="s">
        <v>142</v>
      </c>
      <c r="C22" s="17"/>
      <c r="D22" s="17"/>
      <c r="E22" s="17"/>
    </row>
    <row r="23" customFormat="false" ht="24" hidden="false" customHeight="true" outlineLevel="0" collapsed="false">
      <c r="B23" s="10" t="s">
        <v>143</v>
      </c>
      <c r="C23" s="10" t="s">
        <v>144</v>
      </c>
      <c r="D23" s="10" t="s">
        <v>145</v>
      </c>
      <c r="E23" s="10" t="s">
        <v>146</v>
      </c>
    </row>
    <row r="24" customFormat="false" ht="24" hidden="false" customHeight="true" outlineLevel="0" collapsed="false">
      <c r="B24" s="14" t="s">
        <v>147</v>
      </c>
      <c r="C24" s="14" t="s">
        <v>148</v>
      </c>
      <c r="D24" s="14" t="s">
        <v>149</v>
      </c>
      <c r="E24" s="14" t="s">
        <v>150</v>
      </c>
    </row>
    <row r="25" customFormat="false" ht="24" hidden="false" customHeight="true" outlineLevel="0" collapsed="false">
      <c r="B25" s="12" t="s">
        <v>151</v>
      </c>
      <c r="C25" s="12" t="s">
        <v>152</v>
      </c>
      <c r="D25" s="12" t="s">
        <v>153</v>
      </c>
      <c r="E25" s="12" t="s">
        <v>154</v>
      </c>
    </row>
    <row r="26" customFormat="false" ht="24" hidden="false" customHeight="true" outlineLevel="0" collapsed="false">
      <c r="B26" s="14" t="s">
        <v>155</v>
      </c>
      <c r="C26" s="14" t="s">
        <v>156</v>
      </c>
      <c r="D26" s="14" t="s">
        <v>157</v>
      </c>
      <c r="E26" s="14" t="s">
        <v>158</v>
      </c>
    </row>
    <row r="27" customFormat="false" ht="24" hidden="false" customHeight="true" outlineLevel="0" collapsed="false">
      <c r="B27" s="12" t="s">
        <v>159</v>
      </c>
      <c r="C27" s="12" t="s">
        <v>160</v>
      </c>
      <c r="D27" s="12" t="s">
        <v>161</v>
      </c>
      <c r="E27" s="12" t="s">
        <v>162</v>
      </c>
    </row>
    <row r="28" customFormat="false" ht="24" hidden="false" customHeight="true" outlineLevel="0" collapsed="false">
      <c r="B28" s="14" t="s">
        <v>163</v>
      </c>
      <c r="C28" s="14" t="s">
        <v>160</v>
      </c>
      <c r="D28" s="14" t="s">
        <v>164</v>
      </c>
      <c r="E28" s="14" t="s">
        <v>165</v>
      </c>
    </row>
    <row r="30" customFormat="false" ht="21.75" hidden="false" customHeight="true" outlineLevel="0" collapsed="false">
      <c r="B30" s="18" t="s">
        <v>166</v>
      </c>
      <c r="C30" s="18"/>
      <c r="D30" s="18"/>
      <c r="E30" s="18"/>
    </row>
    <row r="31" customFormat="false" ht="19.5" hidden="false" customHeight="true" outlineLevel="0" collapsed="false">
      <c r="B31" s="19" t="s">
        <v>167</v>
      </c>
      <c r="C31" s="20" t="s">
        <v>168</v>
      </c>
      <c r="D31" s="20"/>
      <c r="E31" s="20"/>
    </row>
    <row r="32" customFormat="false" ht="19.5" hidden="false" customHeight="true" outlineLevel="0" collapsed="false">
      <c r="B32" s="21" t="s">
        <v>169</v>
      </c>
      <c r="C32" s="22" t="s">
        <v>170</v>
      </c>
      <c r="D32" s="22"/>
      <c r="E32" s="22"/>
    </row>
    <row r="33" customFormat="false" ht="19.5" hidden="false" customHeight="true" outlineLevel="0" collapsed="false">
      <c r="B33" s="19" t="s">
        <v>171</v>
      </c>
      <c r="C33" s="20" t="s">
        <v>172</v>
      </c>
      <c r="D33" s="20"/>
      <c r="E33" s="20"/>
    </row>
    <row r="34" customFormat="false" ht="19.5" hidden="false" customHeight="true" outlineLevel="0" collapsed="false">
      <c r="B34" s="21" t="s">
        <v>173</v>
      </c>
      <c r="C34" s="22" t="s">
        <v>174</v>
      </c>
      <c r="D34" s="22"/>
      <c r="E34" s="22"/>
    </row>
    <row r="35" customFormat="false" ht="19.5" hidden="false" customHeight="true" outlineLevel="0" collapsed="false">
      <c r="B35" s="19" t="s">
        <v>175</v>
      </c>
      <c r="C35" s="20" t="s">
        <v>176</v>
      </c>
      <c r="D35" s="20"/>
      <c r="E35" s="20"/>
    </row>
    <row r="36" customFormat="false" ht="19.5" hidden="false" customHeight="true" outlineLevel="0" collapsed="false">
      <c r="B36" s="21" t="s">
        <v>177</v>
      </c>
      <c r="C36" s="22" t="s">
        <v>178</v>
      </c>
      <c r="D36" s="22"/>
      <c r="E36" s="22"/>
    </row>
    <row r="37" customFormat="false" ht="19.5" hidden="false" customHeight="true" outlineLevel="0" collapsed="false">
      <c r="B37" s="19" t="s">
        <v>179</v>
      </c>
      <c r="C37" s="20" t="s">
        <v>180</v>
      </c>
      <c r="D37" s="20"/>
      <c r="E37" s="20"/>
    </row>
    <row r="38" customFormat="false" ht="19.5" hidden="false" customHeight="true" outlineLevel="0" collapsed="false">
      <c r="B38" s="21" t="s">
        <v>181</v>
      </c>
      <c r="C38" s="22" t="s">
        <v>182</v>
      </c>
      <c r="D38" s="22"/>
      <c r="E38" s="22"/>
    </row>
    <row r="39" customFormat="false" ht="19.5" hidden="false" customHeight="true" outlineLevel="0" collapsed="false">
      <c r="B39" s="19" t="s">
        <v>183</v>
      </c>
      <c r="C39" s="20" t="s">
        <v>184</v>
      </c>
      <c r="D39" s="20"/>
      <c r="E39" s="20"/>
    </row>
    <row r="40" customFormat="false" ht="19.5" hidden="false" customHeight="true" outlineLevel="0" collapsed="false">
      <c r="B40" s="21" t="s">
        <v>185</v>
      </c>
      <c r="C40" s="22" t="s">
        <v>186</v>
      </c>
      <c r="D40" s="22"/>
      <c r="E40" s="22"/>
    </row>
  </sheetData>
  <mergeCells count="16">
    <mergeCell ref="B1:E2"/>
    <mergeCell ref="B3:E3"/>
    <mergeCell ref="B5:E5"/>
    <mergeCell ref="B14:E14"/>
    <mergeCell ref="B22:E22"/>
    <mergeCell ref="B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6" min="5" style="1" width="10"/>
    <col collapsed="false" customWidth="true" hidden="false" outlineLevel="0" max="7" min="7" style="1" width="12"/>
  </cols>
  <sheetData>
    <row r="1" customFormat="false" ht="27.75" hidden="false" customHeight="true" outlineLevel="0" collapsed="false">
      <c r="B1" s="23" t="s">
        <v>187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13.5" hidden="false" customHeight="true" outlineLevel="0" collapsed="false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customFormat="false" ht="19.5" hidden="false" customHeight="true" outlineLevel="0" collapsed="false">
      <c r="B4" s="24" t="s">
        <v>188</v>
      </c>
      <c r="C4" s="24"/>
      <c r="E4" s="24" t="s">
        <v>189</v>
      </c>
      <c r="F4" s="24"/>
      <c r="H4" s="24" t="s">
        <v>190</v>
      </c>
      <c r="I4" s="24"/>
      <c r="K4" s="24" t="s">
        <v>191</v>
      </c>
      <c r="L4" s="24"/>
    </row>
    <row r="5" customFormat="false" ht="19.5" hidden="false" customHeight="true" outlineLevel="0" collapsed="false">
      <c r="B5" s="25" t="s">
        <v>192</v>
      </c>
      <c r="C5" s="25"/>
      <c r="E5" s="25" t="s">
        <v>192</v>
      </c>
      <c r="F5" s="25"/>
      <c r="H5" s="25" t="s">
        <v>192</v>
      </c>
      <c r="I5" s="25"/>
      <c r="K5" s="25" t="s">
        <v>192</v>
      </c>
      <c r="L5" s="25"/>
    </row>
    <row r="6" customFormat="false" ht="19.5" hidden="false" customHeight="true" outlineLevel="0" collapsed="false">
      <c r="B6" s="25"/>
      <c r="C6" s="25"/>
      <c r="E6" s="25"/>
      <c r="F6" s="25"/>
      <c r="H6" s="25"/>
      <c r="I6" s="25"/>
      <c r="K6" s="25"/>
      <c r="L6" s="25"/>
    </row>
    <row r="7" customFormat="false" ht="19.5" hidden="false" customHeight="true" outlineLevel="0" collapsed="false">
      <c r="B7" s="25"/>
      <c r="C7" s="25"/>
      <c r="E7" s="25"/>
      <c r="F7" s="25"/>
      <c r="H7" s="25"/>
      <c r="I7" s="25"/>
      <c r="K7" s="25"/>
      <c r="L7" s="25"/>
    </row>
    <row r="8" customFormat="false" ht="19.5" hidden="false" customHeight="true" outlineLevel="0" collapsed="false">
      <c r="B8" s="25"/>
      <c r="C8" s="25"/>
      <c r="E8" s="25"/>
      <c r="F8" s="25"/>
      <c r="H8" s="25"/>
      <c r="I8" s="25"/>
      <c r="K8" s="25"/>
      <c r="L8" s="25"/>
    </row>
    <row r="10" customFormat="false" ht="19.5" hidden="false" customHeight="true" outlineLevel="0" collapsed="false">
      <c r="B10" s="26" t="s">
        <v>193</v>
      </c>
      <c r="C10" s="26"/>
      <c r="D10" s="26"/>
      <c r="E10" s="26"/>
      <c r="F10" s="26"/>
      <c r="G10" s="26"/>
    </row>
    <row r="11" customFormat="false" ht="15" hidden="false" customHeight="true" outlineLevel="0" collapsed="false">
      <c r="B11" s="27" t="s">
        <v>2</v>
      </c>
      <c r="C11" s="27" t="s">
        <v>194</v>
      </c>
      <c r="D11" s="27" t="s">
        <v>19</v>
      </c>
      <c r="E11" s="27" t="s">
        <v>51</v>
      </c>
      <c r="F11" s="27" t="s">
        <v>12</v>
      </c>
      <c r="G11" s="27" t="s">
        <v>195</v>
      </c>
    </row>
    <row r="12" customFormat="false" ht="18" hidden="false" customHeight="true" outlineLevel="0" collapsed="false">
      <c r="B12" s="28" t="s">
        <v>11</v>
      </c>
      <c r="C12" s="29" t="s">
        <v>196</v>
      </c>
      <c r="D12" s="29" t="s">
        <v>196</v>
      </c>
      <c r="E12" s="29" t="s">
        <v>196</v>
      </c>
      <c r="F12" s="29" t="s">
        <v>196</v>
      </c>
      <c r="G12" s="29" t="s">
        <v>196</v>
      </c>
    </row>
    <row r="13" customFormat="false" ht="18" hidden="false" customHeight="true" outlineLevel="0" collapsed="false">
      <c r="B13" s="30" t="s">
        <v>18</v>
      </c>
      <c r="C13" s="31" t="s">
        <v>196</v>
      </c>
      <c r="D13" s="31" t="s">
        <v>196</v>
      </c>
      <c r="E13" s="31" t="s">
        <v>196</v>
      </c>
      <c r="F13" s="31" t="s">
        <v>196</v>
      </c>
      <c r="G13" s="31" t="s">
        <v>196</v>
      </c>
    </row>
    <row r="14" customFormat="false" ht="18" hidden="false" customHeight="true" outlineLevel="0" collapsed="false">
      <c r="B14" s="28" t="s">
        <v>43</v>
      </c>
      <c r="C14" s="29" t="s">
        <v>196</v>
      </c>
      <c r="D14" s="29" t="s">
        <v>196</v>
      </c>
      <c r="E14" s="29" t="s">
        <v>196</v>
      </c>
      <c r="F14" s="29" t="s">
        <v>196</v>
      </c>
      <c r="G14" s="29" t="s">
        <v>196</v>
      </c>
    </row>
    <row r="15" customFormat="false" ht="18" hidden="false" customHeight="true" outlineLevel="0" collapsed="false">
      <c r="B15" s="30" t="s">
        <v>39</v>
      </c>
      <c r="C15" s="31" t="s">
        <v>196</v>
      </c>
      <c r="D15" s="31" t="s">
        <v>196</v>
      </c>
      <c r="E15" s="31" t="s">
        <v>196</v>
      </c>
      <c r="F15" s="31" t="s">
        <v>196</v>
      </c>
      <c r="G15" s="31" t="s">
        <v>196</v>
      </c>
    </row>
    <row r="16" customFormat="false" ht="18" hidden="false" customHeight="true" outlineLevel="0" collapsed="false">
      <c r="B16" s="28" t="s">
        <v>24</v>
      </c>
      <c r="C16" s="29" t="s">
        <v>196</v>
      </c>
      <c r="D16" s="29" t="s">
        <v>196</v>
      </c>
      <c r="E16" s="29" t="s">
        <v>196</v>
      </c>
      <c r="F16" s="29" t="s">
        <v>196</v>
      </c>
      <c r="G16" s="29" t="s">
        <v>196</v>
      </c>
    </row>
    <row r="18" customFormat="false" ht="21.75" hidden="false" customHeight="true" outlineLevel="0" collapsed="false">
      <c r="B18" s="32" t="s">
        <v>197</v>
      </c>
      <c r="C18" s="32"/>
      <c r="D18" s="32"/>
      <c r="E18" s="32"/>
      <c r="F18" s="32"/>
      <c r="G18" s="32"/>
    </row>
    <row r="19" customFormat="false" ht="18" hidden="false" customHeight="true" outlineLevel="0" collapsed="false">
      <c r="B19" s="33"/>
      <c r="C19" s="33"/>
      <c r="D19" s="33"/>
      <c r="E19" s="33"/>
      <c r="F19" s="33"/>
      <c r="G19" s="33"/>
    </row>
    <row r="20" customFormat="false" ht="18" hidden="false" customHeight="true" outlineLevel="0" collapsed="false">
      <c r="B20" s="33"/>
      <c r="C20" s="33"/>
      <c r="D20" s="33"/>
      <c r="E20" s="33"/>
      <c r="F20" s="33"/>
      <c r="G20" s="33"/>
    </row>
    <row r="21" customFormat="false" ht="18" hidden="false" customHeight="true" outlineLevel="0" collapsed="false">
      <c r="B21" s="33"/>
      <c r="C21" s="33"/>
      <c r="D21" s="33"/>
      <c r="E21" s="33"/>
      <c r="F21" s="33"/>
      <c r="G21" s="33"/>
    </row>
    <row r="22" customFormat="false" ht="18" hidden="false" customHeight="true" outlineLevel="0" collapsed="false">
      <c r="B22" s="33"/>
      <c r="C22" s="33"/>
      <c r="D22" s="33"/>
      <c r="E22" s="33"/>
      <c r="F22" s="33"/>
      <c r="G22" s="33"/>
    </row>
    <row r="23" customFormat="false" ht="18" hidden="false" customHeight="true" outlineLevel="0" collapsed="false">
      <c r="B23" s="33"/>
      <c r="C23" s="33"/>
      <c r="D23" s="33"/>
      <c r="E23" s="33"/>
      <c r="F23" s="33"/>
      <c r="G23" s="33"/>
    </row>
    <row r="24" customFormat="false" ht="18" hidden="false" customHeight="true" outlineLevel="0" collapsed="false">
      <c r="B24" s="33"/>
      <c r="C24" s="33"/>
      <c r="D24" s="33"/>
      <c r="E24" s="33"/>
      <c r="F24" s="33"/>
      <c r="G24" s="33"/>
    </row>
    <row r="25" customFormat="false" ht="18" hidden="false" customHeight="true" outlineLevel="0" collapsed="false">
      <c r="B25" s="33"/>
      <c r="C25" s="33"/>
      <c r="D25" s="33"/>
      <c r="E25" s="33"/>
      <c r="F25" s="33"/>
      <c r="G25" s="33"/>
    </row>
    <row r="26" customFormat="false" ht="18" hidden="false" customHeight="true" outlineLevel="0" collapsed="false">
      <c r="B26" s="33"/>
      <c r="C26" s="33"/>
      <c r="D26" s="33"/>
      <c r="E26" s="33"/>
      <c r="F26" s="33"/>
      <c r="G26" s="33"/>
    </row>
    <row r="27" customFormat="false" ht="18" hidden="false" customHeight="true" outlineLevel="0" collapsed="false">
      <c r="B27" s="33"/>
      <c r="C27" s="33"/>
      <c r="D27" s="33"/>
      <c r="E27" s="33"/>
      <c r="F27" s="33"/>
      <c r="G27" s="33"/>
    </row>
    <row r="28" customFormat="false" ht="18" hidden="false" customHeight="true" outlineLevel="0" collapsed="false">
      <c r="B28" s="33"/>
      <c r="C28" s="33"/>
      <c r="D28" s="33"/>
      <c r="E28" s="33"/>
      <c r="F28" s="33"/>
      <c r="G28" s="33"/>
    </row>
    <row r="29" customFormat="false" ht="18" hidden="false" customHeight="true" outlineLevel="0" collapsed="false">
      <c r="B29" s="33"/>
      <c r="C29" s="33"/>
      <c r="D29" s="33"/>
      <c r="E29" s="33"/>
      <c r="F29" s="33"/>
      <c r="G29" s="33"/>
    </row>
    <row r="30" customFormat="false" ht="18" hidden="false" customHeight="true" outlineLevel="0" collapsed="false">
      <c r="B30" s="33"/>
      <c r="C30" s="33"/>
      <c r="D30" s="33"/>
      <c r="E30" s="33"/>
      <c r="F30" s="33"/>
      <c r="G30" s="33"/>
    </row>
    <row r="31" customFormat="false" ht="18" hidden="false" customHeight="true" outlineLevel="0" collapsed="false">
      <c r="B31" s="33"/>
      <c r="C31" s="33"/>
      <c r="D31" s="33"/>
      <c r="E31" s="33"/>
      <c r="F31" s="33"/>
      <c r="G31" s="33"/>
    </row>
  </sheetData>
  <mergeCells count="11">
    <mergeCell ref="B1:L2"/>
    <mergeCell ref="B4:C4"/>
    <mergeCell ref="E4:F4"/>
    <mergeCell ref="H4:I4"/>
    <mergeCell ref="K4:L4"/>
    <mergeCell ref="B5:C8"/>
    <mergeCell ref="E5:F8"/>
    <mergeCell ref="H5:I8"/>
    <mergeCell ref="K5:L8"/>
    <mergeCell ref="B10:G10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2026-03-24T04:34:27Z</dcterms:created>
  <dc:creator>openpyxl</dc:creator>
  <dc:description/>
  <dc:language>en-US</dc:language>
  <cp:lastModifiedBy/>
  <dcterms:modified xsi:type="dcterms:W3CDTF">2026-03-24T04:34:40Z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